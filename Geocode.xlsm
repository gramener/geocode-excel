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t\geocode-excel\"/>
    </mc:Choice>
  </mc:AlternateContent>
  <xr:revisionPtr revIDLastSave="0" documentId="13_ncr:1_{887C26CE-E2BE-4FC9-B3E0-8765BD68E107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1" l="1"/>
  <c r="B14" i="1"/>
  <c r="A31" i="1"/>
  <c r="B28" i="1"/>
  <c r="B27" i="1"/>
  <c r="A17" i="1"/>
</calcChain>
</file>

<file path=xl/sharedStrings.xml><?xml version="1.0" encoding="utf-8"?>
<sst xmlns="http://schemas.openxmlformats.org/spreadsheetml/2006/main" count="30" uniqueCount="21">
  <si>
    <t>Washington DC</t>
  </si>
  <si>
    <t>10 Downing Street</t>
  </si>
  <si>
    <t>Latitude</t>
  </si>
  <si>
    <t>Longitude</t>
  </si>
  <si>
    <t>Geocode in Excel</t>
  </si>
  <si>
    <t>Converts a string address (e.g. "10 Downing Street" or "Tokyo, Japan") into a "latitude,longitude" string</t>
  </si>
  <si>
    <t>=GoogleGeocode(address, api_key)</t>
  </si>
  <si>
    <t>=GoogleReverseGeocode(lat, lng, api_key)</t>
  </si>
  <si>
    <t>Converts a latitude and longitude into an address</t>
  </si>
  <si>
    <t>This Excel sheet has custom geocoding functions</t>
  </si>
  <si>
    <t>https://developers.google.com/maps/documentation/geocoding/get-api-key</t>
  </si>
  <si>
    <t>Google Geocoding functions</t>
  </si>
  <si>
    <t>The Google Geocoding API is comprehensive, but requires an API key. See:</t>
  </si>
  <si>
    <t>Nominatim Geocoding functions</t>
  </si>
  <si>
    <t>The Nominatim API uses OpenStreetMap, which is not as comprehensive as Google's but is free.</t>
  </si>
  <si>
    <t>https://nominatim.org/release-docs/develop/</t>
  </si>
  <si>
    <t>=NominatimReverseGeocode(lat, lng)</t>
  </si>
  <si>
    <t>=NominatimGeocode(address)</t>
  </si>
  <si>
    <t>Latitude, Longitude</t>
  </si>
  <si>
    <t>Geocode example</t>
  </si>
  <si>
    <t>Reverse geocode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</si>
</sst>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8"/>
      <color theme="3"/>
      <name val="Cambria"/>
      <family val="1"/>
      <scheme val="maj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6" fillId="0" borderId="0" xfId="1" applyFont="1"/>
    <xf numFmtId="0" fontId="1" fillId="0" borderId="0" xfId="0" quotePrefix="1" applyFont="1"/>
    <xf numFmtId="0" fontId="0" fillId="0" borderId="0" xfId="0" applyFont="1"/>
    <xf numFmtId="0" fontId="7" fillId="0" borderId="0" xfId="3"/>
    <xf numFmtId="0" fontId="5" fillId="0" borderId="1" xfId="2"/>
    <xf numFmtId="0" fontId="0" fillId="0" borderId="0" xfId="0" quotePrefix="1" applyFont="1"/>
    <xf numFmtId="0" fontId="7" fillId="0" borderId="0" xfId="3" quotePrefix="1"/>
  </cellXfs>
  <cellStyles count="4">
    <cellStyle name="Heading 1" xfId="2" builtinId="16"/>
    <cellStyle name="Hyperlink" xfId="3" builtinId="8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ominatim.org/release-docs/develop/" TargetMode="External"/><Relationship Id="rId1" Type="http://schemas.openxmlformats.org/officeDocument/2006/relationships/hyperlink" Target="https://developers.google.com/maps/documentation/geocoding/get-api-k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1"/>
  <sheetViews>
    <sheetView tabSelected="1" workbookViewId="0"/>
  </sheetViews>
  <sheetFormatPr defaultRowHeight="15" x14ac:dyDescent="0.25"/>
  <cols>
    <col min="1" max="1" width="40.28515625" customWidth="1"/>
  </cols>
  <sheetData>
    <row r="1" spans="1:3" s="4" customFormat="1" ht="22.5" x14ac:dyDescent="0.3">
      <c r="A1" s="4" t="s">
        <v>4</v>
      </c>
    </row>
    <row r="3" spans="1:3" x14ac:dyDescent="0.25">
      <c r="A3" t="s">
        <v>9</v>
      </c>
    </row>
    <row r="5" spans="1:3" ht="20.25" thickBot="1" x14ac:dyDescent="0.35">
      <c r="A5" s="8" t="s">
        <v>11</v>
      </c>
    </row>
    <row r="6" spans="1:3" ht="15.75" thickTop="1" x14ac:dyDescent="0.25">
      <c r="A6" s="6" t="s">
        <v>12</v>
      </c>
    </row>
    <row r="7" spans="1:3" x14ac:dyDescent="0.25">
      <c r="A7" s="7" t="s">
        <v>10</v>
      </c>
    </row>
    <row r="8" spans="1:3" x14ac:dyDescent="0.25">
      <c r="A8" s="7"/>
    </row>
    <row r="9" spans="1:3" x14ac:dyDescent="0.25">
      <c r="A9" s="5" t="s">
        <v>6</v>
      </c>
      <c r="B9" t="s">
        <v>5</v>
      </c>
    </row>
    <row r="10" spans="1:3" x14ac:dyDescent="0.25">
      <c r="A10" s="5" t="s">
        <v>7</v>
      </c>
      <c r="B10" t="s">
        <v>8</v>
      </c>
    </row>
    <row r="12" spans="1:3" x14ac:dyDescent="0.25">
      <c r="A12" s="1" t="s">
        <v>19</v>
      </c>
      <c r="B12" s="1" t="s">
        <v>18</v>
      </c>
    </row>
    <row r="13" spans="1:3" x14ac:dyDescent="0.25">
      <c r="A13" t="s">
        <v>0</v>
      </c>
      <c r="B13" s="3" t="str">
        <f>GoogleGeocode(A13, "Add your API Key here")</f>
        <v>REQUEST_DENIED</v>
      </c>
    </row>
    <row r="14" spans="1:3" x14ac:dyDescent="0.25">
      <c r="A14" t="s">
        <v>1</v>
      </c>
      <c r="B14" s="3" t="str">
        <f>GoogleGeocode(A14, "Add your API Key here")</f>
        <v>REQUEST_DENIED</v>
      </c>
    </row>
    <row r="16" spans="1:3" x14ac:dyDescent="0.25">
      <c r="A16" s="1" t="s">
        <v>20</v>
      </c>
      <c r="B16" s="1" t="s">
        <v>2</v>
      </c>
      <c r="C16" s="1" t="s">
        <v>3</v>
      </c>
    </row>
    <row r="17" spans="1:3" x14ac:dyDescent="0.25">
      <c r="A17" s="3" t="str">
        <f>GoogleReverseGeocode(B17,C17,"API Key")</f>
        <v>REQUEST_DENIED</v>
      </c>
      <c r="B17">
        <v>30</v>
      </c>
      <c r="C17">
        <v>80</v>
      </c>
    </row>
    <row r="18" spans="1:3" x14ac:dyDescent="0.25">
      <c r="A18" s="2"/>
    </row>
    <row r="19" spans="1:3" ht="20.25" thickBot="1" x14ac:dyDescent="0.35">
      <c r="A19" s="8" t="s">
        <v>13</v>
      </c>
    </row>
    <row r="20" spans="1:3" ht="15.75" thickTop="1" x14ac:dyDescent="0.25">
      <c r="A20" s="9" t="s">
        <v>14</v>
      </c>
    </row>
    <row r="21" spans="1:3" x14ac:dyDescent="0.25">
      <c r="A21" s="10" t="s">
        <v>15</v>
      </c>
    </row>
    <row r="22" spans="1:3" x14ac:dyDescent="0.25">
      <c r="A22" s="5"/>
    </row>
    <row r="23" spans="1:3" x14ac:dyDescent="0.25">
      <c r="A23" s="5" t="s">
        <v>17</v>
      </c>
      <c r="B23" t="s">
        <v>5</v>
      </c>
    </row>
    <row r="24" spans="1:3" x14ac:dyDescent="0.25">
      <c r="A24" s="5" t="s">
        <v>16</v>
      </c>
      <c r="B24" t="s">
        <v>8</v>
      </c>
    </row>
    <row r="26" spans="1:3" x14ac:dyDescent="0.25">
      <c r="A26" s="1" t="s">
        <v>19</v>
      </c>
      <c r="B26" s="1" t="s">
        <v>18</v>
      </c>
    </row>
    <row r="27" spans="1:3" x14ac:dyDescent="0.25">
      <c r="A27" t="s">
        <v>0</v>
      </c>
      <c r="B27" s="2" t="str">
        <f>nominatimgeocode(A27)</f>
        <v>38.8950092,-77.0365625</v>
      </c>
    </row>
    <row r="28" spans="1:3" x14ac:dyDescent="0.25">
      <c r="A28" t="s">
        <v>1</v>
      </c>
      <c r="B28" s="2" t="str">
        <f>nominatimgeocode(A28)</f>
        <v>21.2413091,81.6842484</v>
      </c>
    </row>
    <row r="30" spans="1:3" x14ac:dyDescent="0.25">
      <c r="A30" s="1" t="s">
        <v>20</v>
      </c>
      <c r="B30" s="1" t="s">
        <v>2</v>
      </c>
      <c r="C30" s="1" t="s">
        <v>3</v>
      </c>
    </row>
    <row r="31" spans="1:3" x14ac:dyDescent="0.25">
      <c r="A31" s="2" t="str">
        <f>NominatimReverseGeocode(B31,C31)</f>
        <v>Leti, Bageshwar, Uttarakhand, 263633, India</v>
      </c>
      <c r="B31">
        <v>30</v>
      </c>
      <c r="C31">
        <v>80</v>
      </c>
    </row>
  </sheetData>
  <hyperlinks>
    <hyperlink ref="A7" r:id="rId1" xr:uid="{2435DB04-A514-4EAC-9D02-904BC6148EDC}"/>
    <hyperlink ref="A21" r:id="rId2" xr:uid="{674C54A8-50D4-4200-8BB7-E91B511E442E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Gramener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Anand S</cp:lastModifiedBy>
  <dcterms:created xsi:type="dcterms:W3CDTF">2013-05-08T08:23:31Z</dcterms:created>
  <dcterms:modified xsi:type="dcterms:W3CDTF">2019-08-16T22:35:23Z</dcterms:modified>
</cp:coreProperties>
</file>